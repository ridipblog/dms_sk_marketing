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D3C375A-A6A2-4C7E-8C7D-DD68F42BFFDF}" xr6:coauthVersionLast="47" xr6:coauthVersionMax="47" xr10:uidLastSave="{00000000-0000-0000-0000-000000000000}"/>
  <bookViews>
    <workbookView xWindow="-120" yWindow="-120" windowWidth="20730" windowHeight="11040" xr2:uid="{355C6C7E-746B-411B-A36B-EDEA9CAF5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5" i="1"/>
  <c r="I4" i="1"/>
  <c r="L4" i="1" s="1"/>
  <c r="D12" i="1"/>
  <c r="F12" i="1" s="1"/>
  <c r="D11" i="1"/>
  <c r="F11" i="1" s="1"/>
  <c r="D10" i="1"/>
  <c r="F10" i="1" s="1"/>
  <c r="F13" i="1" s="1"/>
  <c r="B7" i="1"/>
  <c r="L6" i="1"/>
  <c r="D6" i="1"/>
  <c r="F6" i="1" s="1"/>
  <c r="L5" i="1"/>
  <c r="J5" i="1"/>
  <c r="D5" i="1"/>
  <c r="F5" i="1" s="1"/>
  <c r="M5" i="1" s="1"/>
  <c r="D4" i="1"/>
  <c r="F4" i="1" s="1"/>
  <c r="M6" i="1" l="1"/>
  <c r="M4" i="1"/>
  <c r="F7" i="1"/>
  <c r="J4" i="1"/>
  <c r="J6" i="1"/>
</calcChain>
</file>

<file path=xl/sharedStrings.xml><?xml version="1.0" encoding="utf-8"?>
<sst xmlns="http://schemas.openxmlformats.org/spreadsheetml/2006/main" count="8" uniqueCount="7">
  <si>
    <t>MT</t>
  </si>
  <si>
    <t>P/D</t>
  </si>
  <si>
    <t>D/D</t>
  </si>
  <si>
    <t>D/N</t>
  </si>
  <si>
    <t>Total Bill</t>
  </si>
  <si>
    <t>Amount Paid</t>
  </si>
  <si>
    <t>Qnty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</si>
</sst>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43" fontId="2" fillId="0" borderId="1" xfId="1" applyFont="1" applyBorder="1"/>
    <xf numFmtId="0" fontId="0" fillId="0" borderId="1" xfId="0" applyBorder="1"/>
    <xf numFmtId="43" fontId="0" fillId="0" borderId="1" xfId="1" applyFont="1" applyBorder="1"/>
    <xf numFmtId="43" fontId="0" fillId="0" borderId="1" xfId="0" applyNumberFormat="1" applyBorder="1"/>
    <xf numFmtId="43" fontId="2" fillId="0" borderId="1" xfId="0" applyNumberFormat="1" applyFont="1" applyBorder="1"/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78E6-B384-4B91-A0EB-70BFC88DA1C3}">
  <dimension ref="A3:N13"/>
  <sheetViews>
    <sheetView tabSelected="1" workbookViewId="0">
      <selection activeCell="P14" sqref="P14"/>
    </sheetView>
  </sheetViews>
  <sheetFormatPr defaultRowHeight="15" x14ac:dyDescent="0.25"/>
  <cols>
    <col min="2" max="2" width="6" bestFit="1" customWidth="1"/>
    <col min="3" max="3" width="3" bestFit="1" customWidth="1"/>
    <col min="4" max="4" width="6" bestFit="1" customWidth="1"/>
    <col min="5" max="5" width="4.42578125" bestFit="1" customWidth="1"/>
    <col min="6" max="6" width="10.5703125" bestFit="1" customWidth="1"/>
    <col min="7" max="7" width="8.7109375" bestFit="1" customWidth="1"/>
    <col min="8" max="8" width="13.28515625" bestFit="1" customWidth="1"/>
    <col min="9" max="9" width="12" customWidth="1"/>
    <col min="10" max="10" width="10" customWidth="1"/>
    <col min="11" max="11" width="5.42578125" customWidth="1"/>
    <col min="12" max="12" width="10.5703125" bestFit="1" customWidth="1"/>
    <col min="13" max="13" width="7.7109375" bestFit="1" customWidth="1"/>
  </cols>
  <sheetData>
    <row r="3" spans="1:14" x14ac:dyDescent="0.25">
      <c r="A3" s="1"/>
      <c r="B3" s="2" t="s">
        <v>0</v>
      </c>
      <c r="C3" s="2"/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3" t="s">
        <v>6</v>
      </c>
      <c r="J3" s="2"/>
      <c r="K3" s="2"/>
      <c r="L3" s="2"/>
      <c r="M3" s="2"/>
      <c r="N3" s="1"/>
    </row>
    <row r="4" spans="1:14" x14ac:dyDescent="0.25">
      <c r="B4" s="4">
        <v>12.93</v>
      </c>
      <c r="C4" s="4">
        <v>30</v>
      </c>
      <c r="D4" s="4">
        <f>B4*C4</f>
        <v>387.9</v>
      </c>
      <c r="E4" s="4">
        <v>10</v>
      </c>
      <c r="F4" s="3">
        <f>D4*E4</f>
        <v>3879</v>
      </c>
      <c r="G4" s="4">
        <v>2287031</v>
      </c>
      <c r="H4" s="5">
        <v>1000000</v>
      </c>
      <c r="I4" s="5">
        <f>$B$7/$G$4*H4</f>
        <v>12.933799323227364</v>
      </c>
      <c r="J4" s="6">
        <f>I4-B4</f>
        <v>3.7993232273638711E-3</v>
      </c>
      <c r="K4" s="4">
        <v>30</v>
      </c>
      <c r="L4" s="7">
        <f>I4*K4*E4</f>
        <v>3880.1397969682093</v>
      </c>
      <c r="M4" s="6">
        <f>F4-L4</f>
        <v>-1.139796968209339</v>
      </c>
    </row>
    <row r="5" spans="1:14" x14ac:dyDescent="0.25">
      <c r="B5" s="4">
        <v>15.52</v>
      </c>
      <c r="C5" s="4">
        <v>30</v>
      </c>
      <c r="D5" s="4">
        <f t="shared" ref="D5:D6" si="0">B5*C5</f>
        <v>465.59999999999997</v>
      </c>
      <c r="E5" s="4">
        <v>30</v>
      </c>
      <c r="F5" s="3">
        <f t="shared" ref="F5:F6" si="1">D5*E5</f>
        <v>13967.999999999998</v>
      </c>
      <c r="G5" s="4"/>
      <c r="H5" s="5">
        <v>1200000</v>
      </c>
      <c r="I5" s="5">
        <f t="shared" ref="I5:I6" si="2">$B$7/$G$4*H5</f>
        <v>15.520559187872836</v>
      </c>
      <c r="J5" s="6">
        <f t="shared" ref="J5:J6" si="3">I5-B5</f>
        <v>5.5918787283637528E-4</v>
      </c>
      <c r="K5" s="4">
        <v>30</v>
      </c>
      <c r="L5" s="3">
        <f t="shared" ref="L5:L6" si="4">I5*K5*E5</f>
        <v>13968.503269085553</v>
      </c>
      <c r="M5" s="6">
        <f t="shared" ref="M5:M6" si="5">F5-L5</f>
        <v>-0.50326908555507543</v>
      </c>
    </row>
    <row r="6" spans="1:14" x14ac:dyDescent="0.25">
      <c r="B6" s="4">
        <v>1.1299999999999999</v>
      </c>
      <c r="C6" s="4">
        <v>30</v>
      </c>
      <c r="D6" s="4">
        <f t="shared" si="0"/>
        <v>33.9</v>
      </c>
      <c r="E6" s="4">
        <v>36</v>
      </c>
      <c r="F6" s="3">
        <f t="shared" si="1"/>
        <v>1220.3999999999999</v>
      </c>
      <c r="G6" s="4"/>
      <c r="H6" s="5">
        <v>87031</v>
      </c>
      <c r="I6" s="5">
        <f t="shared" si="2"/>
        <v>1.1256414888998005</v>
      </c>
      <c r="J6" s="6">
        <f t="shared" si="3"/>
        <v>-4.3585111001993582E-3</v>
      </c>
      <c r="K6" s="4">
        <v>30</v>
      </c>
      <c r="L6" s="7">
        <f t="shared" si="4"/>
        <v>1215.6928080117846</v>
      </c>
      <c r="M6" s="6">
        <f t="shared" si="5"/>
        <v>4.7071919882152997</v>
      </c>
    </row>
    <row r="7" spans="1:14" x14ac:dyDescent="0.25">
      <c r="B7" s="2">
        <f>SUM(B4:B6)</f>
        <v>29.58</v>
      </c>
      <c r="C7" s="4"/>
      <c r="D7" s="4"/>
      <c r="E7" s="4"/>
      <c r="F7" s="7">
        <f>SUM(F4:F6)</f>
        <v>19067.400000000001</v>
      </c>
      <c r="G7" s="4"/>
      <c r="H7" s="4"/>
      <c r="I7" s="4"/>
      <c r="J7" s="4"/>
      <c r="K7" s="4"/>
      <c r="L7" s="4"/>
      <c r="M7" s="4"/>
    </row>
    <row r="8" spans="1:14" x14ac:dyDescent="0.25">
      <c r="B8" s="1"/>
      <c r="F8" s="8"/>
    </row>
    <row r="9" spans="1:14" x14ac:dyDescent="0.25">
      <c r="B9" t="s">
        <v>0</v>
      </c>
    </row>
    <row r="10" spans="1:14" x14ac:dyDescent="0.25">
      <c r="B10" s="4">
        <v>29.58</v>
      </c>
      <c r="C10" s="4">
        <v>30</v>
      </c>
      <c r="D10" s="4">
        <f>B10*C10</f>
        <v>887.4</v>
      </c>
      <c r="E10" s="4">
        <v>10</v>
      </c>
      <c r="F10" s="3">
        <f>D10*E10</f>
        <v>8874</v>
      </c>
    </row>
    <row r="11" spans="1:14" x14ac:dyDescent="0.25">
      <c r="B11" s="4">
        <v>29.58</v>
      </c>
      <c r="C11" s="4">
        <v>30</v>
      </c>
      <c r="D11" s="4">
        <f t="shared" ref="D11:D12" si="6">B11*C11</f>
        <v>887.4</v>
      </c>
      <c r="E11" s="4">
        <v>30</v>
      </c>
      <c r="F11" s="3">
        <f t="shared" ref="F11:F12" si="7">D11*E11</f>
        <v>26622</v>
      </c>
    </row>
    <row r="12" spans="1:14" x14ac:dyDescent="0.25">
      <c r="B12" s="4">
        <v>29.58</v>
      </c>
      <c r="C12" s="4">
        <v>30</v>
      </c>
      <c r="D12" s="4">
        <f t="shared" si="6"/>
        <v>887.4</v>
      </c>
      <c r="E12" s="4">
        <v>36</v>
      </c>
      <c r="F12" s="3">
        <f t="shared" si="7"/>
        <v>31946.399999999998</v>
      </c>
    </row>
    <row r="13" spans="1:14" x14ac:dyDescent="0.25">
      <c r="B13" s="1"/>
      <c r="F13" s="8">
        <f>SUM(F10:F12)</f>
        <v>67442.399999999994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Utpal Goswami</dc:creator>
  <cp:lastModifiedBy>Utpal Goswami</cp:lastModifiedBy>
  <dcterms:created xsi:type="dcterms:W3CDTF">2026-05-28T13:09:42Z</dcterms:created>
  <dcterms:modified xsi:type="dcterms:W3CDTF">2026-05-28T13:11:57Z</dcterms:modified>
</cp:coreProperties>
</file>